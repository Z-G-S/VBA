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f992628f3559cf1/Desktop/Y2 Semester 1/BA Programming/20^1 Final/"/>
    </mc:Choice>
  </mc:AlternateContent>
  <xr:revisionPtr revIDLastSave="2313" documentId="8_{27BD135D-933C-4292-96BE-2CC9B0991794}" xr6:coauthVersionLast="47" xr6:coauthVersionMax="47" xr10:uidLastSave="{4779B02A-0F3E-4512-B7F6-A47A64087ACB}"/>
  <bookViews>
    <workbookView xWindow="-98" yWindow="-98" windowWidth="23236" windowHeight="13875" activeTab="1" xr2:uid="{00000000-000D-0000-FFFF-FFFF00000000}"/>
  </bookViews>
  <sheets>
    <sheet name="Return Calculator" sheetId="10" r:id="rId1"/>
    <sheet name="Output" sheetId="6" r:id="rId2"/>
    <sheet name="Data" sheetId="9" r:id="rId3"/>
    <sheet name="InterestRates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9" l="1"/>
  <c r="C43" i="6"/>
  <c r="C45" i="6"/>
  <c r="C44" i="6"/>
  <c r="C46" i="6"/>
  <c r="C50" i="6"/>
  <c r="C51" i="6"/>
  <c r="C52" i="6"/>
  <c r="C53" i="6"/>
  <c r="C54" i="6"/>
  <c r="C55" i="6"/>
  <c r="C56" i="6"/>
  <c r="C57" i="6"/>
  <c r="C49" i="6"/>
  <c r="B40" i="6"/>
  <c r="B38" i="6"/>
  <c r="B35" i="6"/>
  <c r="C18" i="9"/>
  <c r="D18" i="9"/>
  <c r="E18" i="9"/>
  <c r="F18" i="9"/>
  <c r="G18" i="9"/>
  <c r="H18" i="9"/>
  <c r="I18" i="9"/>
  <c r="J18" i="9"/>
  <c r="K18" i="9"/>
  <c r="B18" i="9"/>
  <c r="C17" i="9"/>
  <c r="D17" i="9"/>
  <c r="E17" i="9"/>
  <c r="G17" i="9"/>
  <c r="H17" i="9"/>
  <c r="I17" i="9"/>
  <c r="J17" i="9"/>
  <c r="K17" i="9"/>
  <c r="B17" i="9"/>
  <c r="K16" i="9"/>
  <c r="C16" i="9"/>
  <c r="D16" i="9"/>
  <c r="E16" i="9"/>
  <c r="F16" i="9"/>
  <c r="G16" i="9"/>
  <c r="H16" i="9"/>
  <c r="I16" i="9"/>
  <c r="J16" i="9"/>
  <c r="B16" i="9"/>
  <c r="F20" i="9" l="1"/>
  <c r="D20" i="9"/>
  <c r="K20" i="9"/>
  <c r="J20" i="9"/>
  <c r="I20" i="9"/>
  <c r="H20" i="9"/>
  <c r="G20" i="9"/>
  <c r="E20" i="9"/>
  <c r="C20" i="9"/>
  <c r="B20" i="9"/>
</calcChain>
</file>

<file path=xl/sharedStrings.xml><?xml version="1.0" encoding="utf-8"?>
<sst xmlns="http://schemas.openxmlformats.org/spreadsheetml/2006/main" count="70" uniqueCount="31">
  <si>
    <t>Total Return</t>
  </si>
  <si>
    <t>AI and IT</t>
  </si>
  <si>
    <t>Consumer</t>
  </si>
  <si>
    <t>Energy</t>
  </si>
  <si>
    <t>Banks</t>
  </si>
  <si>
    <t>Automotive</t>
  </si>
  <si>
    <t>Profit:</t>
  </si>
  <si>
    <t>Return</t>
  </si>
  <si>
    <t>ROI:</t>
  </si>
  <si>
    <t>Class Output</t>
  </si>
  <si>
    <t xml:space="preserve">Class </t>
  </si>
  <si>
    <t>Subsector Output</t>
  </si>
  <si>
    <t>Subsector</t>
  </si>
  <si>
    <t>GSC</t>
  </si>
  <si>
    <t>Class 1</t>
  </si>
  <si>
    <t>Class 2</t>
  </si>
  <si>
    <t>Class 3</t>
  </si>
  <si>
    <t>Visualisations</t>
  </si>
  <si>
    <t>Output Data</t>
  </si>
  <si>
    <t>Data Format</t>
  </si>
  <si>
    <t>Year</t>
  </si>
  <si>
    <t>Total</t>
  </si>
  <si>
    <t>Class</t>
  </si>
  <si>
    <t>Cash Pres</t>
  </si>
  <si>
    <t>*Cash Preservation values based on average interest rate of:</t>
  </si>
  <si>
    <t>Data For Output Sheet</t>
  </si>
  <si>
    <t>Cash Pres.</t>
  </si>
  <si>
    <t>Return Calculator &amp; Investment Planner</t>
  </si>
  <si>
    <t>Raw Output Data</t>
  </si>
  <si>
    <t>Data Format Number:</t>
  </si>
  <si>
    <t xml:space="preserve"> Billion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</si>
</sst>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£&quot;* #,##0.00_-;\-&quot;£&quot;* #,##0.00_-;_-&quot;£&quot;* &quot;-&quot;??_-;_-@_-"/>
    <numFmt numFmtId="164" formatCode="_-[$£-809]* #,##0.00_-;\-[$£-809]* #,##0.00_-;_-[$£-809]* &quot;-&quot;??_-;_-@_-"/>
    <numFmt numFmtId="165" formatCode="_-[$£-809]* #,##0_-;\-[$£-809]* #,##0_-;_-[$£-809]* &quot;-&quot;_-;_-@_-"/>
    <numFmt numFmtId="166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Fill="1"/>
    <xf numFmtId="0" fontId="0" fillId="0" borderId="0" xfId="0" applyFill="1" applyBorder="1"/>
    <xf numFmtId="0" fontId="0" fillId="2" borderId="0" xfId="0" applyFill="1" applyBorder="1"/>
    <xf numFmtId="164" fontId="4" fillId="2" borderId="0" xfId="1" applyNumberFormat="1" applyFont="1" applyFill="1" applyBorder="1" applyAlignme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8" xfId="0" applyFill="1" applyBorder="1"/>
    <xf numFmtId="0" fontId="0" fillId="2" borderId="7" xfId="0" applyFill="1" applyBorder="1"/>
    <xf numFmtId="0" fontId="0" fillId="2" borderId="5" xfId="0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/>
    <xf numFmtId="0" fontId="0" fillId="6" borderId="0" xfId="0" applyFill="1"/>
    <xf numFmtId="0" fontId="0" fillId="0" borderId="0" xfId="0" applyFill="1" applyAlignment="1"/>
    <xf numFmtId="2" fontId="0" fillId="6" borderId="0" xfId="0" applyNumberFormat="1" applyFill="1"/>
    <xf numFmtId="0" fontId="0" fillId="7" borderId="0" xfId="0" applyFill="1"/>
    <xf numFmtId="0" fontId="0" fillId="2" borderId="0" xfId="0" applyFill="1"/>
    <xf numFmtId="0" fontId="1" fillId="2" borderId="0" xfId="0" applyFont="1" applyFill="1" applyBorder="1"/>
    <xf numFmtId="164" fontId="0" fillId="2" borderId="0" xfId="0" applyNumberFormat="1" applyFill="1" applyBorder="1"/>
    <xf numFmtId="9" fontId="0" fillId="2" borderId="0" xfId="2" applyNumberFormat="1" applyFont="1" applyFill="1" applyBorder="1"/>
    <xf numFmtId="0" fontId="5" fillId="2" borderId="0" xfId="0" applyFont="1" applyFill="1" applyBorder="1" applyAlignment="1">
      <alignment horizontal="center"/>
    </xf>
    <xf numFmtId="0" fontId="0" fillId="2" borderId="0" xfId="0" applyFont="1" applyFill="1" applyBorder="1" applyAlignment="1"/>
    <xf numFmtId="0" fontId="0" fillId="2" borderId="0" xfId="0" applyFont="1" applyFill="1" applyBorder="1"/>
    <xf numFmtId="2" fontId="0" fillId="7" borderId="0" xfId="0" applyNumberFormat="1" applyFill="1"/>
    <xf numFmtId="0" fontId="0" fillId="9" borderId="0" xfId="0" applyFill="1"/>
    <xf numFmtId="0" fontId="0" fillId="2" borderId="6" xfId="0" applyFill="1" applyBorder="1"/>
    <xf numFmtId="164" fontId="0" fillId="0" borderId="0" xfId="0" applyNumberFormat="1" applyFill="1" applyBorder="1"/>
    <xf numFmtId="1" fontId="0" fillId="2" borderId="7" xfId="0" applyNumberFormat="1" applyFill="1" applyBorder="1" applyAlignment="1"/>
    <xf numFmtId="166" fontId="0" fillId="3" borderId="0" xfId="0" applyNumberFormat="1" applyFill="1"/>
    <xf numFmtId="0" fontId="6" fillId="8" borderId="0" xfId="0" applyFont="1" applyFill="1" applyAlignment="1">
      <alignment horizontal="center" vertical="center"/>
    </xf>
    <xf numFmtId="165" fontId="0" fillId="2" borderId="0" xfId="0" applyNumberFormat="1" applyFill="1" applyBorder="1"/>
    <xf numFmtId="165" fontId="0" fillId="2" borderId="7" xfId="0" applyNumberFormat="1" applyFill="1" applyBorder="1"/>
    <xf numFmtId="165" fontId="0" fillId="2" borderId="0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3" fillId="7" borderId="0" xfId="0" applyFont="1" applyFill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DBCD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Pie Chart of Class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314363829730219E-2"/>
          <c:y val="0.16665652723858876"/>
          <c:w val="0.91861634209012621"/>
          <c:h val="0.80277200292365669"/>
        </c:manualLayout>
      </c:layout>
      <c:pieChart>
        <c:varyColors val="1"/>
        <c:ser>
          <c:idx val="0"/>
          <c:order val="0"/>
          <c:tx>
            <c:strRef>
              <c:f>Output!$C$13</c:f>
              <c:strCache>
                <c:ptCount val="1"/>
                <c:pt idx="0">
                  <c:v>Return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C24-4C2D-B665-57C57A8E10D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C24-4C2D-B665-57C57A8E10DE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8C24-4C2D-B665-57C57A8E10D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C24-4C2D-B665-57C57A8E10DE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Output!$B$14:$B$17</c:f>
              <c:strCache>
                <c:ptCount val="4"/>
                <c:pt idx="0">
                  <c:v>Class 1</c:v>
                </c:pt>
                <c:pt idx="1">
                  <c:v>Class 2</c:v>
                </c:pt>
                <c:pt idx="2">
                  <c:v>Class 3</c:v>
                </c:pt>
                <c:pt idx="3">
                  <c:v>Cash Pres.</c:v>
                </c:pt>
              </c:strCache>
            </c:strRef>
          </c:cat>
          <c:val>
            <c:numRef>
              <c:f>Output!$C$14:$C$17</c:f>
              <c:numCache>
                <c:formatCode>_-[$£-809]* #,##0.00_-;\-[$£-809]* #,##0.00_-;_-[$£-809]* "-"??_-;_-@_-</c:formatCode>
                <c:ptCount val="4"/>
                <c:pt idx="0">
                  <c:v>9.1427572500000007</c:v>
                </c:pt>
                <c:pt idx="1">
                  <c:v>27.283543999999999</c:v>
                </c:pt>
                <c:pt idx="2">
                  <c:v>14.725529999999999</c:v>
                </c:pt>
                <c:pt idx="3">
                  <c:v>11.993763749999999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4-4C2D-B665-57C57A8E1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</a:t>
            </a:r>
            <a:r>
              <a:rPr lang="en-US" baseline="0"/>
              <a:t> Year Total Returns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Data!$A$20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val>
            <c:numRef>
              <c:f>Data!$B$20:$K$20</c:f>
              <c:numCache>
                <c:formatCode>0.00</c:formatCode>
                <c:ptCount val="10"/>
                <c:pt idx="0">
                  <c:v>53.984999999999999</c:v>
                </c:pt>
                <c:pt idx="1">
                  <c:v>58.339062499999997</c:v>
                </c:pt>
                <c:pt idx="2">
                  <c:v>63.154628906249997</c:v>
                </c:pt>
                <c:pt idx="3">
                  <c:v>68.404293212890622</c:v>
                </c:pt>
                <c:pt idx="4">
                  <c:v>74.200811538696286</c:v>
                </c:pt>
                <c:pt idx="5">
                  <c:v>80.567112259864814</c:v>
                </c:pt>
                <c:pt idx="6">
                  <c:v>87.606306776106351</c:v>
                </c:pt>
                <c:pt idx="7">
                  <c:v>95.351700949613004</c:v>
                </c:pt>
                <c:pt idx="8">
                  <c:v>103.95680725896381</c:v>
                </c:pt>
                <c:pt idx="9">
                  <c:v>113.45535771264905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2-44FB-87E4-D0C36BE9A7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91721055"/>
        <c:axId val="1029919055"/>
      </c:barChart>
      <c:catAx>
        <c:axId val="5917210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solidFill>
                      <a:schemeClr val="tx1"/>
                    </a:solidFill>
                  </a:rPr>
                  <a:t>Years</a:t>
                </a:r>
              </a:p>
            </c:rich>
          </c:tx>
          <c:layout>
            <c:manualLayout>
              <c:xMode val="edge"/>
              <c:yMode val="edge"/>
              <c:x val="0.5084772973390318"/>
              <c:y val="0.94097412938681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919055"/>
        <c:crosses val="autoZero"/>
        <c:auto val="1"/>
        <c:lblAlgn val="ctr"/>
        <c:lblOffset val="100"/>
        <c:noMultiLvlLbl val="0"/>
      </c:catAx>
      <c:valAx>
        <c:axId val="1029919055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solidFill>
                      <a:schemeClr val="tx1"/>
                    </a:solidFill>
                  </a:rPr>
                  <a:t>Total Return in selected</a:t>
                </a:r>
                <a:r>
                  <a:rPr lang="en-GB" baseline="0">
                    <a:solidFill>
                      <a:schemeClr val="tx1"/>
                    </a:solidFill>
                  </a:rPr>
                  <a:t> data format and £</a:t>
                </a:r>
                <a:endParaRPr lang="en-GB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4.3419261114718305E-2"/>
              <c:y val="0.215876298692332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crossAx val="59172105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642938</xdr:colOff>
          <xdr:row>13</xdr:row>
          <xdr:rowOff>123825</xdr:rowOff>
        </xdr:from>
        <xdr:to>
          <xdr:col>15</xdr:col>
          <xdr:colOff>38100</xdr:colOff>
          <xdr:row>22</xdr:row>
          <xdr:rowOff>76200</xdr:rowOff>
        </xdr:to>
        <xdr:sp macro="" textlink="">
          <xdr:nvSpPr>
            <xdr:cNvPr id="3073" name="OpenReturnCalculato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69055</xdr:colOff>
      <xdr:row>3</xdr:row>
      <xdr:rowOff>69055</xdr:rowOff>
    </xdr:from>
    <xdr:to>
      <xdr:col>9</xdr:col>
      <xdr:colOff>614362</xdr:colOff>
      <xdr:row>28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23812</xdr:colOff>
      <xdr:row>3</xdr:row>
      <xdr:rowOff>76201</xdr:rowOff>
    </xdr:from>
    <xdr:to>
      <xdr:col>20</xdr:col>
      <xdr:colOff>566738</xdr:colOff>
      <xdr:row>28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</xdr:col>
      <xdr:colOff>82744</xdr:colOff>
      <xdr:row>7</xdr:row>
      <xdr:rowOff>77512</xdr:rowOff>
    </xdr:from>
    <xdr:ext cx="248851" cy="25955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 rot="16200000">
          <a:off x="1919289" y="2517692"/>
          <a:ext cx="2595562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000"/>
            <a:t>Class Return in selected data format and £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ADC0F-10F1-40A5-8C59-F9B63EA05EF6}">
  <sheetPr codeName="Sheet1"/>
  <dimension ref="A1:V32"/>
  <sheetViews>
    <sheetView workbookViewId="0">
      <selection activeCell="J14" sqref="J14"/>
    </sheetView>
  </sheetViews>
  <sheetFormatPr defaultRowHeight="14.25" x14ac:dyDescent="0.45"/>
  <cols>
    <col min="1" max="16384" width="9.06640625" style="19"/>
  </cols>
  <sheetData>
    <row r="1" spans="1:22" x14ac:dyDescent="0.45">
      <c r="A1" s="32" t="s">
        <v>27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45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</row>
    <row r="3" spans="1:22" x14ac:dyDescent="0.45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</row>
    <row r="4" spans="1:22" x14ac:dyDescent="0.4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</row>
    <row r="5" spans="1:22" x14ac:dyDescent="0.4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</row>
    <row r="6" spans="1:22" x14ac:dyDescent="0.4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</row>
    <row r="7" spans="1:22" x14ac:dyDescent="0.4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</row>
    <row r="8" spans="1:22" x14ac:dyDescent="0.4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</row>
    <row r="9" spans="1:22" x14ac:dyDescent="0.4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</row>
    <row r="10" spans="1:22" x14ac:dyDescent="0.4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</row>
    <row r="11" spans="1:22" x14ac:dyDescent="0.4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</row>
    <row r="12" spans="1:22" x14ac:dyDescent="0.4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</row>
    <row r="13" spans="1:22" x14ac:dyDescent="0.4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</row>
    <row r="14" spans="1:22" x14ac:dyDescent="0.4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</row>
    <row r="15" spans="1:22" x14ac:dyDescent="0.4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</row>
    <row r="16" spans="1:22" x14ac:dyDescent="0.4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</row>
    <row r="17" spans="1:22" x14ac:dyDescent="0.4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</row>
    <row r="18" spans="1:22" x14ac:dyDescent="0.4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</row>
    <row r="19" spans="1:22" x14ac:dyDescent="0.4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</row>
    <row r="20" spans="1:22" x14ac:dyDescent="0.4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</row>
    <row r="21" spans="1:22" x14ac:dyDescent="0.4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</row>
    <row r="22" spans="1:22" x14ac:dyDescent="0.4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</row>
    <row r="23" spans="1:22" x14ac:dyDescent="0.4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</row>
    <row r="24" spans="1:22" x14ac:dyDescent="0.4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</row>
    <row r="25" spans="1:22" x14ac:dyDescent="0.4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</row>
    <row r="26" spans="1:22" x14ac:dyDescent="0.4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</row>
    <row r="27" spans="1:22" x14ac:dyDescent="0.4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</row>
    <row r="28" spans="1:22" x14ac:dyDescent="0.4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</row>
    <row r="29" spans="1:22" x14ac:dyDescent="0.4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</row>
    <row r="30" spans="1:22" x14ac:dyDescent="0.4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</row>
    <row r="31" spans="1:22" x14ac:dyDescent="0.4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</row>
    <row r="32" spans="1:22" x14ac:dyDescent="0.4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</row>
  </sheetData>
  <mergeCells count="1">
    <mergeCell ref="A1:V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OpenReturnCalculator">
          <controlPr defaultSize="0" autoLine="0" r:id="rId5">
            <anchor moveWithCells="1">
              <from>
                <xdr:col>6</xdr:col>
                <xdr:colOff>642938</xdr:colOff>
                <xdr:row>13</xdr:row>
                <xdr:rowOff>123825</xdr:rowOff>
              </from>
              <to>
                <xdr:col>15</xdr:col>
                <xdr:colOff>38100</xdr:colOff>
                <xdr:row>22</xdr:row>
                <xdr:rowOff>76200</xdr:rowOff>
              </to>
            </anchor>
          </controlPr>
        </control>
      </mc:Choice>
      <mc:Fallback>
        <control shapeId="3073" r:id="rId4" name="OpenReturnCalculato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8FD89-B23F-45C2-8738-36F1034CFC22}">
  <sheetPr codeName="Sheet4"/>
  <dimension ref="A1:U58"/>
  <sheetViews>
    <sheetView tabSelected="1" workbookViewId="0">
      <selection activeCell="I31" sqref="I31"/>
    </sheetView>
  </sheetViews>
  <sheetFormatPr defaultRowHeight="14.25" x14ac:dyDescent="0.45"/>
  <cols>
    <col min="1" max="5" width="10.53125" style="1" customWidth="1"/>
    <col min="6" max="6" width="10.53125" style="2" customWidth="1"/>
    <col min="7" max="16384" width="9.06640625" style="1"/>
  </cols>
  <sheetData>
    <row r="1" spans="1:21" ht="14.25" customHeight="1" x14ac:dyDescent="0.45">
      <c r="A1" s="38" t="s">
        <v>18</v>
      </c>
      <c r="B1" s="39"/>
      <c r="C1" s="39"/>
      <c r="D1" s="40"/>
      <c r="E1" s="38" t="s">
        <v>17</v>
      </c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40"/>
    </row>
    <row r="2" spans="1:21" ht="14.25" customHeight="1" x14ac:dyDescent="0.45">
      <c r="A2" s="41"/>
      <c r="B2" s="42"/>
      <c r="C2" s="42"/>
      <c r="D2" s="43"/>
      <c r="E2" s="41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3"/>
    </row>
    <row r="3" spans="1:21" ht="14.25" customHeight="1" x14ac:dyDescent="0.45">
      <c r="A3" s="44"/>
      <c r="B3" s="45"/>
      <c r="C3" s="45"/>
      <c r="D3" s="46"/>
      <c r="E3" s="44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6"/>
    </row>
    <row r="4" spans="1:21" x14ac:dyDescent="0.45">
      <c r="A4" s="8"/>
      <c r="B4" s="19"/>
      <c r="C4" s="19"/>
      <c r="D4" s="9"/>
      <c r="E4" s="5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7"/>
    </row>
    <row r="5" spans="1:21" x14ac:dyDescent="0.45">
      <c r="A5" s="8"/>
      <c r="B5" s="37" t="s">
        <v>19</v>
      </c>
      <c r="C5" s="37"/>
      <c r="D5" s="9"/>
      <c r="E5" s="8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9"/>
    </row>
    <row r="6" spans="1:21" x14ac:dyDescent="0.45">
      <c r="A6" s="8"/>
      <c r="B6" s="47" t="s">
        <v>30</v>
      </c>
      <c r="C6" s="47"/>
      <c r="D6" s="9"/>
      <c r="E6" s="8"/>
      <c r="F6" s="3"/>
      <c r="G6" s="4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9"/>
    </row>
    <row r="7" spans="1:21" x14ac:dyDescent="0.45">
      <c r="A7" s="8"/>
      <c r="B7" s="19"/>
      <c r="C7" s="19"/>
      <c r="D7" s="9"/>
      <c r="E7" s="8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9"/>
    </row>
    <row r="8" spans="1:21" x14ac:dyDescent="0.45">
      <c r="A8" s="8"/>
      <c r="B8" s="37" t="s">
        <v>0</v>
      </c>
      <c r="C8" s="37"/>
      <c r="D8" s="9"/>
      <c r="E8" s="8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9"/>
    </row>
    <row r="9" spans="1:21" x14ac:dyDescent="0.45">
      <c r="A9" s="8"/>
      <c r="B9" s="51">
        <v>63.145595</v>
      </c>
      <c r="C9" s="51"/>
      <c r="D9" s="9"/>
      <c r="E9" s="8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9"/>
    </row>
    <row r="10" spans="1:21" x14ac:dyDescent="0.45">
      <c r="A10" s="8"/>
      <c r="B10" s="20" t="s">
        <v>6</v>
      </c>
      <c r="C10" s="20" t="s">
        <v>8</v>
      </c>
      <c r="D10" s="9"/>
      <c r="E10" s="8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9"/>
    </row>
    <row r="11" spans="1:21" x14ac:dyDescent="0.45">
      <c r="A11" s="8"/>
      <c r="B11" s="21">
        <v>13.145595</v>
      </c>
      <c r="C11" s="22">
        <v>0.26</v>
      </c>
      <c r="D11" s="9"/>
      <c r="E11" s="8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9"/>
    </row>
    <row r="12" spans="1:21" x14ac:dyDescent="0.45">
      <c r="A12" s="8"/>
      <c r="B12" s="37" t="s">
        <v>9</v>
      </c>
      <c r="C12" s="37"/>
      <c r="D12" s="9"/>
      <c r="E12" s="8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9"/>
    </row>
    <row r="13" spans="1:21" x14ac:dyDescent="0.45">
      <c r="A13" s="8"/>
      <c r="B13" s="23" t="s">
        <v>10</v>
      </c>
      <c r="C13" s="23" t="s">
        <v>7</v>
      </c>
      <c r="D13" s="9"/>
      <c r="E13" s="8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9"/>
    </row>
    <row r="14" spans="1:21" x14ac:dyDescent="0.45">
      <c r="A14" s="8"/>
      <c r="B14" s="24" t="s">
        <v>14</v>
      </c>
      <c r="C14" s="21">
        <v>9.1427572500000007</v>
      </c>
      <c r="D14" s="9"/>
      <c r="E14" s="8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9"/>
    </row>
    <row r="15" spans="1:21" x14ac:dyDescent="0.45">
      <c r="A15" s="8"/>
      <c r="B15" s="24" t="s">
        <v>15</v>
      </c>
      <c r="C15" s="21">
        <v>27.283543999999999</v>
      </c>
      <c r="D15" s="9"/>
      <c r="E15" s="8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9"/>
    </row>
    <row r="16" spans="1:21" x14ac:dyDescent="0.45">
      <c r="A16" s="8"/>
      <c r="B16" s="24" t="s">
        <v>16</v>
      </c>
      <c r="C16" s="21">
        <v>14.725529999999999</v>
      </c>
      <c r="D16" s="9"/>
      <c r="E16" s="8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9"/>
    </row>
    <row r="17" spans="1:21" x14ac:dyDescent="0.45">
      <c r="A17" s="8"/>
      <c r="B17" s="24" t="s">
        <v>26</v>
      </c>
      <c r="C17" s="21">
        <v>11.993763749999999</v>
      </c>
      <c r="D17" s="9"/>
      <c r="E17" s="8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9"/>
    </row>
    <row r="18" spans="1:21" x14ac:dyDescent="0.45">
      <c r="A18" s="8"/>
      <c r="B18" s="37" t="s">
        <v>11</v>
      </c>
      <c r="C18" s="37"/>
      <c r="D18" s="9"/>
      <c r="E18" s="8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9"/>
    </row>
    <row r="19" spans="1:21" x14ac:dyDescent="0.45">
      <c r="A19" s="8"/>
      <c r="B19" s="23" t="s">
        <v>12</v>
      </c>
      <c r="C19" s="23" t="s">
        <v>7</v>
      </c>
      <c r="D19" s="9"/>
      <c r="E19" s="8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9"/>
    </row>
    <row r="20" spans="1:21" x14ac:dyDescent="0.45">
      <c r="A20" s="8"/>
      <c r="B20" s="25" t="s">
        <v>1</v>
      </c>
      <c r="C20" s="21">
        <v>1.1406562499999999</v>
      </c>
      <c r="D20" s="9"/>
      <c r="E20" s="8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9"/>
    </row>
    <row r="21" spans="1:21" x14ac:dyDescent="0.45">
      <c r="A21" s="8"/>
      <c r="B21" s="25" t="s">
        <v>2</v>
      </c>
      <c r="C21" s="21">
        <v>3.278181</v>
      </c>
      <c r="D21" s="9"/>
      <c r="E21" s="8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9"/>
    </row>
    <row r="22" spans="1:21" x14ac:dyDescent="0.45">
      <c r="A22" s="8"/>
      <c r="B22" s="25" t="s">
        <v>3</v>
      </c>
      <c r="C22" s="21">
        <v>4.7239199999999997</v>
      </c>
      <c r="D22" s="9"/>
      <c r="E22" s="8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9"/>
    </row>
    <row r="23" spans="1:21" x14ac:dyDescent="0.45">
      <c r="A23" s="8"/>
      <c r="B23" s="25" t="s">
        <v>4</v>
      </c>
      <c r="C23" s="21">
        <v>12.59712</v>
      </c>
      <c r="D23" s="9"/>
      <c r="E23" s="8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9"/>
    </row>
    <row r="24" spans="1:21" x14ac:dyDescent="0.45">
      <c r="A24" s="8"/>
      <c r="B24" s="25" t="s">
        <v>3</v>
      </c>
      <c r="C24" s="21">
        <v>2.5194239999999999</v>
      </c>
      <c r="D24" s="9"/>
      <c r="E24" s="8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9"/>
    </row>
    <row r="25" spans="1:21" x14ac:dyDescent="0.45">
      <c r="A25" s="8"/>
      <c r="B25" s="25" t="s">
        <v>1</v>
      </c>
      <c r="C25" s="21">
        <v>12.167</v>
      </c>
      <c r="D25" s="9"/>
      <c r="E25" s="8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9"/>
    </row>
    <row r="26" spans="1:21" x14ac:dyDescent="0.45">
      <c r="A26" s="8"/>
      <c r="B26" s="25" t="s">
        <v>13</v>
      </c>
      <c r="C26" s="21">
        <v>4.3410937499999998</v>
      </c>
      <c r="D26" s="9"/>
      <c r="E26" s="8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9"/>
    </row>
    <row r="27" spans="1:21" x14ac:dyDescent="0.45">
      <c r="A27" s="3"/>
      <c r="B27" s="25" t="s">
        <v>3</v>
      </c>
      <c r="C27" s="21">
        <v>3.1492800000000001</v>
      </c>
      <c r="D27" s="9"/>
      <c r="E27" s="8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9"/>
    </row>
    <row r="28" spans="1:21" x14ac:dyDescent="0.45">
      <c r="A28" s="3"/>
      <c r="B28" s="25" t="s">
        <v>5</v>
      </c>
      <c r="C28" s="21">
        <v>7.2351562500000002</v>
      </c>
      <c r="D28" s="9"/>
      <c r="E28" s="8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9"/>
    </row>
    <row r="29" spans="1:21" x14ac:dyDescent="0.45">
      <c r="A29" s="10"/>
      <c r="B29" s="10"/>
      <c r="C29" s="10"/>
      <c r="D29" s="10"/>
      <c r="E29" s="48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50"/>
    </row>
    <row r="30" spans="1:21" x14ac:dyDescent="0.45">
      <c r="A30" s="38" t="s">
        <v>28</v>
      </c>
      <c r="B30" s="39"/>
      <c r="C30" s="39"/>
      <c r="D30" s="40"/>
    </row>
    <row r="31" spans="1:21" x14ac:dyDescent="0.45">
      <c r="A31" s="41"/>
      <c r="B31" s="42"/>
      <c r="C31" s="42"/>
      <c r="D31" s="43"/>
    </row>
    <row r="32" spans="1:21" x14ac:dyDescent="0.45">
      <c r="A32" s="44"/>
      <c r="B32" s="45"/>
      <c r="C32" s="45"/>
      <c r="D32" s="46"/>
    </row>
    <row r="33" spans="1:6" x14ac:dyDescent="0.45">
      <c r="A33" s="8"/>
      <c r="B33" s="19"/>
      <c r="C33" s="19"/>
      <c r="D33" s="9"/>
    </row>
    <row r="34" spans="1:6" x14ac:dyDescent="0.45">
      <c r="A34" s="8"/>
      <c r="B34" s="37" t="s">
        <v>19</v>
      </c>
      <c r="C34" s="37"/>
      <c r="D34" s="9"/>
    </row>
    <row r="35" spans="1:6" x14ac:dyDescent="0.45">
      <c r="A35" s="8"/>
      <c r="B35" s="47" t="str">
        <f>B6</f>
        <v xml:space="preserve"> Billion</v>
      </c>
      <c r="C35" s="47"/>
      <c r="D35" s="30"/>
    </row>
    <row r="36" spans="1:6" x14ac:dyDescent="0.45">
      <c r="A36" s="8"/>
      <c r="B36" s="19"/>
      <c r="C36" s="19"/>
      <c r="D36" s="9"/>
      <c r="F36" s="29"/>
    </row>
    <row r="37" spans="1:6" x14ac:dyDescent="0.45">
      <c r="A37" s="8"/>
      <c r="B37" s="37" t="s">
        <v>0</v>
      </c>
      <c r="C37" s="37"/>
      <c r="D37" s="9"/>
    </row>
    <row r="38" spans="1:6" x14ac:dyDescent="0.45">
      <c r="A38" s="8"/>
      <c r="B38" s="35">
        <f>B9*Data!A25</f>
        <v>63145595000</v>
      </c>
      <c r="C38" s="35"/>
      <c r="D38" s="9"/>
    </row>
    <row r="39" spans="1:6" x14ac:dyDescent="0.45">
      <c r="A39" s="8"/>
      <c r="B39" s="37" t="s">
        <v>6</v>
      </c>
      <c r="C39" s="37"/>
      <c r="D39" s="9"/>
    </row>
    <row r="40" spans="1:6" x14ac:dyDescent="0.45">
      <c r="A40" s="8"/>
      <c r="B40" s="35">
        <f>B11*Data!A25</f>
        <v>13145595000</v>
      </c>
      <c r="C40" s="35"/>
      <c r="D40" s="9"/>
    </row>
    <row r="41" spans="1:6" x14ac:dyDescent="0.45">
      <c r="A41" s="8"/>
      <c r="B41" s="37" t="s">
        <v>9</v>
      </c>
      <c r="C41" s="37"/>
      <c r="D41" s="9"/>
    </row>
    <row r="42" spans="1:6" x14ac:dyDescent="0.45">
      <c r="A42" s="8"/>
      <c r="B42" s="23" t="s">
        <v>10</v>
      </c>
      <c r="C42" s="23" t="s">
        <v>7</v>
      </c>
      <c r="D42" s="9"/>
    </row>
    <row r="43" spans="1:6" x14ac:dyDescent="0.45">
      <c r="A43" s="8"/>
      <c r="B43" s="24" t="s">
        <v>14</v>
      </c>
      <c r="C43" s="35">
        <f>C14*Data!$A$25</f>
        <v>9142757250</v>
      </c>
      <c r="D43" s="36"/>
    </row>
    <row r="44" spans="1:6" x14ac:dyDescent="0.45">
      <c r="A44" s="8"/>
      <c r="B44" s="24" t="s">
        <v>15</v>
      </c>
      <c r="C44" s="35">
        <f>C15*Data!$A$25</f>
        <v>27283544000</v>
      </c>
      <c r="D44" s="36"/>
    </row>
    <row r="45" spans="1:6" x14ac:dyDescent="0.45">
      <c r="A45" s="8"/>
      <c r="B45" s="24" t="s">
        <v>16</v>
      </c>
      <c r="C45" s="35">
        <f>C16*Data!$A$25</f>
        <v>14725530000</v>
      </c>
      <c r="D45" s="36"/>
    </row>
    <row r="46" spans="1:6" x14ac:dyDescent="0.45">
      <c r="A46" s="8"/>
      <c r="B46" s="24" t="s">
        <v>26</v>
      </c>
      <c r="C46" s="35">
        <f>C17*Data!$A$25</f>
        <v>11993763750</v>
      </c>
      <c r="D46" s="36"/>
    </row>
    <row r="47" spans="1:6" x14ac:dyDescent="0.45">
      <c r="A47" s="8"/>
      <c r="B47" s="37" t="s">
        <v>11</v>
      </c>
      <c r="C47" s="37"/>
      <c r="D47" s="9"/>
    </row>
    <row r="48" spans="1:6" x14ac:dyDescent="0.45">
      <c r="A48" s="8"/>
      <c r="B48" s="23" t="s">
        <v>12</v>
      </c>
      <c r="C48" s="23" t="s">
        <v>7</v>
      </c>
      <c r="D48" s="9"/>
    </row>
    <row r="49" spans="1:4" x14ac:dyDescent="0.45">
      <c r="A49" s="8"/>
      <c r="B49" s="25" t="s">
        <v>1</v>
      </c>
      <c r="C49" s="35">
        <f>C20*Data!$A$25</f>
        <v>1140656250</v>
      </c>
      <c r="D49" s="36"/>
    </row>
    <row r="50" spans="1:4" x14ac:dyDescent="0.45">
      <c r="A50" s="8"/>
      <c r="B50" s="25" t="s">
        <v>2</v>
      </c>
      <c r="C50" s="35">
        <f>C21*Data!$A$25</f>
        <v>3278181000</v>
      </c>
      <c r="D50" s="36"/>
    </row>
    <row r="51" spans="1:4" x14ac:dyDescent="0.45">
      <c r="A51" s="8"/>
      <c r="B51" s="25" t="s">
        <v>3</v>
      </c>
      <c r="C51" s="33">
        <f>C22*Data!$A$25</f>
        <v>4723920000</v>
      </c>
      <c r="D51" s="34"/>
    </row>
    <row r="52" spans="1:4" x14ac:dyDescent="0.45">
      <c r="A52" s="8"/>
      <c r="B52" s="25" t="s">
        <v>4</v>
      </c>
      <c r="C52" s="33">
        <f>C23*Data!$A$25</f>
        <v>12597120000</v>
      </c>
      <c r="D52" s="34"/>
    </row>
    <row r="53" spans="1:4" x14ac:dyDescent="0.45">
      <c r="A53" s="8"/>
      <c r="B53" s="25" t="s">
        <v>3</v>
      </c>
      <c r="C53" s="33">
        <f>C24*Data!$A$25</f>
        <v>2519424000</v>
      </c>
      <c r="D53" s="34"/>
    </row>
    <row r="54" spans="1:4" x14ac:dyDescent="0.45">
      <c r="A54" s="8"/>
      <c r="B54" s="25" t="s">
        <v>1</v>
      </c>
      <c r="C54" s="33">
        <f>C25*Data!$A$25</f>
        <v>12167000000</v>
      </c>
      <c r="D54" s="34"/>
    </row>
    <row r="55" spans="1:4" x14ac:dyDescent="0.45">
      <c r="A55" s="8"/>
      <c r="B55" s="25" t="s">
        <v>13</v>
      </c>
      <c r="C55" s="33">
        <f>C26*Data!$A$25</f>
        <v>4341093750</v>
      </c>
      <c r="D55" s="34"/>
    </row>
    <row r="56" spans="1:4" x14ac:dyDescent="0.45">
      <c r="A56" s="3"/>
      <c r="B56" s="25" t="s">
        <v>3</v>
      </c>
      <c r="C56" s="33">
        <f>C27*Data!$A$25</f>
        <v>3149280000</v>
      </c>
      <c r="D56" s="34"/>
    </row>
    <row r="57" spans="1:4" x14ac:dyDescent="0.45">
      <c r="A57" s="3"/>
      <c r="B57" s="25" t="s">
        <v>5</v>
      </c>
      <c r="C57" s="33">
        <f>C28*Data!$A$25</f>
        <v>7235156250</v>
      </c>
      <c r="D57" s="34"/>
    </row>
    <row r="58" spans="1:4" x14ac:dyDescent="0.45">
      <c r="A58" s="10"/>
      <c r="B58" s="10"/>
      <c r="C58" s="10"/>
      <c r="D58" s="28"/>
    </row>
  </sheetData>
  <mergeCells count="31">
    <mergeCell ref="E29:U29"/>
    <mergeCell ref="E1:U3"/>
    <mergeCell ref="B6:C6"/>
    <mergeCell ref="B9:C9"/>
    <mergeCell ref="B12:C12"/>
    <mergeCell ref="B18:C18"/>
    <mergeCell ref="B5:C5"/>
    <mergeCell ref="B8:C8"/>
    <mergeCell ref="A1:D3"/>
    <mergeCell ref="A30:D32"/>
    <mergeCell ref="B34:C34"/>
    <mergeCell ref="B35:C35"/>
    <mergeCell ref="B37:C37"/>
    <mergeCell ref="B38:C38"/>
    <mergeCell ref="C49:D49"/>
    <mergeCell ref="C50:D50"/>
    <mergeCell ref="B41:C41"/>
    <mergeCell ref="B47:C47"/>
    <mergeCell ref="B39:C39"/>
    <mergeCell ref="B40:C40"/>
    <mergeCell ref="C43:D43"/>
    <mergeCell ref="C44:D44"/>
    <mergeCell ref="C45:D45"/>
    <mergeCell ref="C46:D46"/>
    <mergeCell ref="C56:D56"/>
    <mergeCell ref="C57:D57"/>
    <mergeCell ref="C51:D51"/>
    <mergeCell ref="C52:D52"/>
    <mergeCell ref="C53:D53"/>
    <mergeCell ref="C54:D54"/>
    <mergeCell ref="C55:D5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B232F-3371-4395-8297-E7EBA64980E4}">
  <sheetPr codeName="Sheet2"/>
  <dimension ref="A1:L25"/>
  <sheetViews>
    <sheetView workbookViewId="0">
      <selection activeCell="G24" sqref="G24"/>
    </sheetView>
  </sheetViews>
  <sheetFormatPr defaultRowHeight="14.25" x14ac:dyDescent="0.45"/>
  <cols>
    <col min="1" max="1" width="10.73046875" bestFit="1" customWidth="1"/>
    <col min="4" max="4" width="9.19921875" bestFit="1" customWidth="1"/>
  </cols>
  <sheetData>
    <row r="1" spans="1:12" x14ac:dyDescent="0.45">
      <c r="A1" s="53" t="s">
        <v>25</v>
      </c>
      <c r="B1" s="53"/>
      <c r="C1" s="53"/>
      <c r="D1" s="53"/>
      <c r="E1" s="53"/>
      <c r="F1" s="53"/>
      <c r="G1" s="53"/>
      <c r="H1" s="53"/>
      <c r="I1" s="53"/>
      <c r="J1" s="53"/>
      <c r="K1" s="53"/>
    </row>
    <row r="2" spans="1:12" x14ac:dyDescent="0.45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</row>
    <row r="3" spans="1:12" x14ac:dyDescent="0.45">
      <c r="B3" s="52" t="s">
        <v>20</v>
      </c>
      <c r="C3" s="52"/>
      <c r="D3" s="52"/>
      <c r="E3" s="52"/>
      <c r="F3" s="52"/>
      <c r="G3" s="52"/>
      <c r="H3" s="52"/>
      <c r="I3" s="52"/>
      <c r="J3" s="52"/>
      <c r="K3" s="52"/>
    </row>
    <row r="4" spans="1:12" x14ac:dyDescent="0.45">
      <c r="A4" t="s">
        <v>12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</row>
    <row r="5" spans="1:12" x14ac:dyDescent="0.45">
      <c r="A5" s="11" t="s">
        <v>1</v>
      </c>
      <c r="B5" s="11">
        <v>0.86</v>
      </c>
      <c r="C5" s="11">
        <v>0.99</v>
      </c>
      <c r="D5" s="11">
        <v>1.1399999999999999</v>
      </c>
      <c r="E5" s="11">
        <v>1.31</v>
      </c>
      <c r="F5" s="11">
        <v>1.51</v>
      </c>
      <c r="G5" s="11">
        <v>1.73</v>
      </c>
      <c r="H5" s="11">
        <v>2</v>
      </c>
      <c r="I5" s="11">
        <v>2.29</v>
      </c>
      <c r="J5" s="11">
        <v>2.64</v>
      </c>
      <c r="K5" s="11">
        <v>3.03</v>
      </c>
    </row>
    <row r="6" spans="1:12" x14ac:dyDescent="0.45">
      <c r="A6" s="11" t="s">
        <v>2</v>
      </c>
      <c r="B6" s="11">
        <v>3.09</v>
      </c>
      <c r="C6" s="11">
        <v>3.18</v>
      </c>
      <c r="D6" s="11">
        <v>3.28</v>
      </c>
      <c r="E6" s="11">
        <v>3.38</v>
      </c>
      <c r="F6" s="11">
        <v>3.48</v>
      </c>
      <c r="G6" s="11">
        <v>3.58</v>
      </c>
      <c r="H6" s="11">
        <v>3.69</v>
      </c>
      <c r="I6" s="11">
        <v>3.8</v>
      </c>
      <c r="J6" s="11">
        <v>3.91</v>
      </c>
      <c r="K6" s="11">
        <v>4.03</v>
      </c>
    </row>
    <row r="7" spans="1:12" x14ac:dyDescent="0.45">
      <c r="A7" s="11" t="s">
        <v>3</v>
      </c>
      <c r="B7" s="11">
        <v>4.05</v>
      </c>
      <c r="C7" s="11">
        <v>4.37</v>
      </c>
      <c r="D7" s="11">
        <v>4.72</v>
      </c>
      <c r="E7" s="11">
        <v>5.0999999999999996</v>
      </c>
      <c r="F7" s="11">
        <v>5.51</v>
      </c>
      <c r="G7" s="11">
        <v>5.95</v>
      </c>
      <c r="H7" s="11">
        <v>6.43</v>
      </c>
      <c r="I7" s="11">
        <v>6.94</v>
      </c>
      <c r="J7" s="11">
        <v>7.5</v>
      </c>
      <c r="K7" s="11">
        <v>8.1</v>
      </c>
    </row>
    <row r="8" spans="1:12" x14ac:dyDescent="0.45">
      <c r="A8" s="12" t="s">
        <v>4</v>
      </c>
      <c r="B8" s="12">
        <v>10.8</v>
      </c>
      <c r="C8" s="12">
        <v>11.66</v>
      </c>
      <c r="D8" s="12">
        <v>12.6</v>
      </c>
      <c r="E8" s="12">
        <v>13.6</v>
      </c>
      <c r="F8" s="12">
        <v>14.69</v>
      </c>
      <c r="G8" s="12">
        <v>15.87</v>
      </c>
      <c r="H8" s="12">
        <v>17.14</v>
      </c>
      <c r="I8" s="12">
        <v>18.510000000000002</v>
      </c>
      <c r="J8" s="12">
        <v>19.989999999999998</v>
      </c>
      <c r="K8" s="12">
        <v>21.59</v>
      </c>
    </row>
    <row r="9" spans="1:12" x14ac:dyDescent="0.45">
      <c r="A9" s="12" t="s">
        <v>3</v>
      </c>
      <c r="B9" s="12">
        <v>2.16</v>
      </c>
      <c r="C9" s="12">
        <v>2.33</v>
      </c>
      <c r="D9" s="12">
        <v>2.52</v>
      </c>
      <c r="E9" s="12">
        <v>2.72</v>
      </c>
      <c r="F9" s="12">
        <v>2.94</v>
      </c>
      <c r="G9" s="12">
        <v>3.17</v>
      </c>
      <c r="H9" s="12">
        <v>3.43</v>
      </c>
      <c r="I9" s="12">
        <v>3.7</v>
      </c>
      <c r="J9" s="12">
        <v>4</v>
      </c>
      <c r="K9" s="12">
        <v>4.32</v>
      </c>
    </row>
    <row r="10" spans="1:12" x14ac:dyDescent="0.45">
      <c r="A10" s="12" t="s">
        <v>1</v>
      </c>
      <c r="B10" s="12">
        <v>9.1999999999999993</v>
      </c>
      <c r="C10" s="12">
        <v>10.58</v>
      </c>
      <c r="D10" s="12">
        <v>12.17</v>
      </c>
      <c r="E10" s="12">
        <v>13.99</v>
      </c>
      <c r="F10" s="12">
        <v>16.09</v>
      </c>
      <c r="G10" s="12">
        <v>18.5</v>
      </c>
      <c r="H10" s="12">
        <v>21.28</v>
      </c>
      <c r="I10" s="12">
        <v>24.47</v>
      </c>
      <c r="J10" s="12">
        <v>28.14</v>
      </c>
      <c r="K10" s="12">
        <v>32.36</v>
      </c>
    </row>
    <row r="11" spans="1:12" x14ac:dyDescent="0.45">
      <c r="A11" s="13" t="s">
        <v>13</v>
      </c>
      <c r="B11" s="13">
        <v>3.94</v>
      </c>
      <c r="C11" s="13">
        <v>4.13</v>
      </c>
      <c r="D11" s="13">
        <v>4.34</v>
      </c>
      <c r="E11" s="13">
        <v>4.5599999999999996</v>
      </c>
      <c r="F11" s="13">
        <v>4.79</v>
      </c>
      <c r="G11" s="13">
        <v>5.03</v>
      </c>
      <c r="H11" s="13">
        <v>5.28</v>
      </c>
      <c r="I11" s="13">
        <v>5.54</v>
      </c>
      <c r="J11" s="13">
        <v>5.82</v>
      </c>
      <c r="K11" s="13">
        <v>6.11</v>
      </c>
    </row>
    <row r="12" spans="1:12" x14ac:dyDescent="0.45">
      <c r="A12" s="13" t="s">
        <v>3</v>
      </c>
      <c r="B12" s="13">
        <v>2.7</v>
      </c>
      <c r="C12" s="13">
        <v>2.92</v>
      </c>
      <c r="D12" s="13">
        <v>3.15</v>
      </c>
      <c r="E12" s="13">
        <v>3.4</v>
      </c>
      <c r="F12" s="13">
        <v>3.67</v>
      </c>
      <c r="G12" s="13">
        <v>3.97</v>
      </c>
      <c r="H12" s="13">
        <v>4.28</v>
      </c>
      <c r="I12" s="13">
        <v>4.63</v>
      </c>
      <c r="J12" s="13">
        <v>5</v>
      </c>
      <c r="K12" s="13">
        <v>5.4</v>
      </c>
    </row>
    <row r="13" spans="1:12" x14ac:dyDescent="0.45">
      <c r="A13" s="13" t="s">
        <v>5</v>
      </c>
      <c r="B13" s="13">
        <v>6.56</v>
      </c>
      <c r="C13" s="13">
        <v>6.89</v>
      </c>
      <c r="D13" s="13">
        <v>7.24</v>
      </c>
      <c r="E13" s="13">
        <v>7.6</v>
      </c>
      <c r="F13" s="13">
        <v>7.98</v>
      </c>
      <c r="G13" s="13">
        <v>8.3800000000000008</v>
      </c>
      <c r="H13" s="13">
        <v>8.7899999999999991</v>
      </c>
      <c r="I13" s="13">
        <v>9.23</v>
      </c>
      <c r="J13" s="13">
        <v>9.6999999999999993</v>
      </c>
      <c r="K13" s="13">
        <v>10.18</v>
      </c>
    </row>
    <row r="15" spans="1:12" x14ac:dyDescent="0.45">
      <c r="A15" s="16" t="s">
        <v>22</v>
      </c>
      <c r="B15" s="14">
        <v>1</v>
      </c>
      <c r="C15" s="14">
        <v>2</v>
      </c>
      <c r="D15">
        <v>3</v>
      </c>
      <c r="E15">
        <v>4</v>
      </c>
      <c r="F15">
        <v>5</v>
      </c>
      <c r="G15">
        <v>6</v>
      </c>
      <c r="H15" s="1">
        <v>7</v>
      </c>
      <c r="I15" s="1">
        <v>8</v>
      </c>
      <c r="J15" s="1">
        <v>9</v>
      </c>
      <c r="K15" s="1">
        <v>10</v>
      </c>
      <c r="L15" s="1"/>
    </row>
    <row r="16" spans="1:12" x14ac:dyDescent="0.45">
      <c r="A16" s="11" t="s">
        <v>14</v>
      </c>
      <c r="B16" s="11">
        <f>SUM(B5:B7)</f>
        <v>8</v>
      </c>
      <c r="C16" s="11">
        <f t="shared" ref="C16:J16" si="0">SUM(C5:C7)</f>
        <v>8.5399999999999991</v>
      </c>
      <c r="D16" s="31">
        <f t="shared" si="0"/>
        <v>9.14</v>
      </c>
      <c r="E16" s="11">
        <f t="shared" si="0"/>
        <v>9.7899999999999991</v>
      </c>
      <c r="F16" s="11">
        <f t="shared" si="0"/>
        <v>10.5</v>
      </c>
      <c r="G16" s="11">
        <f t="shared" si="0"/>
        <v>11.260000000000002</v>
      </c>
      <c r="H16" s="11">
        <f t="shared" si="0"/>
        <v>12.12</v>
      </c>
      <c r="I16" s="11">
        <f t="shared" si="0"/>
        <v>13.030000000000001</v>
      </c>
      <c r="J16" s="11">
        <f t="shared" si="0"/>
        <v>14.05</v>
      </c>
      <c r="K16" s="11">
        <f>SUM(K5:K7)</f>
        <v>15.16</v>
      </c>
    </row>
    <row r="17" spans="1:11" x14ac:dyDescent="0.45">
      <c r="A17" s="12" t="s">
        <v>15</v>
      </c>
      <c r="B17" s="12">
        <f>SUM(B8:B10)</f>
        <v>22.16</v>
      </c>
      <c r="C17" s="12">
        <f t="shared" ref="C17:K17" si="1">SUM(C8:C10)</f>
        <v>24.57</v>
      </c>
      <c r="D17" s="12">
        <f t="shared" si="1"/>
        <v>27.29</v>
      </c>
      <c r="E17" s="12">
        <f t="shared" si="1"/>
        <v>30.310000000000002</v>
      </c>
      <c r="F17" s="12">
        <f>SUM(F8:F10)</f>
        <v>33.72</v>
      </c>
      <c r="G17" s="12">
        <f t="shared" si="1"/>
        <v>37.54</v>
      </c>
      <c r="H17" s="12">
        <f t="shared" si="1"/>
        <v>41.85</v>
      </c>
      <c r="I17" s="12">
        <f t="shared" si="1"/>
        <v>46.68</v>
      </c>
      <c r="J17" s="12">
        <f t="shared" si="1"/>
        <v>52.129999999999995</v>
      </c>
      <c r="K17" s="12">
        <f t="shared" si="1"/>
        <v>58.269999999999996</v>
      </c>
    </row>
    <row r="18" spans="1:11" x14ac:dyDescent="0.45">
      <c r="A18" s="13" t="s">
        <v>16</v>
      </c>
      <c r="B18" s="13">
        <f>SUM(B11:B13)</f>
        <v>13.2</v>
      </c>
      <c r="C18" s="13">
        <f t="shared" ref="C18:K18" si="2">SUM(C11:C13)</f>
        <v>13.94</v>
      </c>
      <c r="D18" s="13">
        <f t="shared" si="2"/>
        <v>14.73</v>
      </c>
      <c r="E18" s="13">
        <f t="shared" si="2"/>
        <v>15.559999999999999</v>
      </c>
      <c r="F18" s="13">
        <f t="shared" si="2"/>
        <v>16.440000000000001</v>
      </c>
      <c r="G18" s="13">
        <f t="shared" si="2"/>
        <v>17.380000000000003</v>
      </c>
      <c r="H18" s="13">
        <f t="shared" si="2"/>
        <v>18.350000000000001</v>
      </c>
      <c r="I18" s="13">
        <f t="shared" si="2"/>
        <v>19.399999999999999</v>
      </c>
      <c r="J18" s="13">
        <f t="shared" si="2"/>
        <v>20.52</v>
      </c>
      <c r="K18" s="13">
        <f t="shared" si="2"/>
        <v>21.69</v>
      </c>
    </row>
    <row r="19" spans="1:11" x14ac:dyDescent="0.45">
      <c r="A19" s="18" t="s">
        <v>23</v>
      </c>
      <c r="B19" s="26">
        <v>10.625</v>
      </c>
      <c r="C19" s="26">
        <v>11.2890625</v>
      </c>
      <c r="D19" s="26">
        <v>11.99462890625</v>
      </c>
      <c r="E19" s="26">
        <v>12.744293212890625</v>
      </c>
      <c r="F19" s="26">
        <v>13.540811538696289</v>
      </c>
      <c r="G19" s="26">
        <v>14.387112259864807</v>
      </c>
      <c r="H19" s="26">
        <v>15.286306776106358</v>
      </c>
      <c r="I19" s="26">
        <v>16.241700949613005</v>
      </c>
      <c r="J19" s="26">
        <v>17.256807258963818</v>
      </c>
      <c r="K19" s="26">
        <v>18.335357712649056</v>
      </c>
    </row>
    <row r="20" spans="1:11" x14ac:dyDescent="0.45">
      <c r="A20" s="15" t="s">
        <v>21</v>
      </c>
      <c r="B20" s="17">
        <f>SUM(B16:B19)</f>
        <v>53.984999999999999</v>
      </c>
      <c r="C20" s="17">
        <f t="shared" ref="C20:K20" si="3">SUM(C16:C19)</f>
        <v>58.339062499999997</v>
      </c>
      <c r="D20" s="17">
        <f t="shared" si="3"/>
        <v>63.154628906249997</v>
      </c>
      <c r="E20" s="17">
        <f t="shared" si="3"/>
        <v>68.404293212890622</v>
      </c>
      <c r="F20" s="17">
        <f t="shared" si="3"/>
        <v>74.200811538696286</v>
      </c>
      <c r="G20" s="17">
        <f t="shared" si="3"/>
        <v>80.567112259864814</v>
      </c>
      <c r="H20" s="17">
        <f t="shared" si="3"/>
        <v>87.606306776106351</v>
      </c>
      <c r="I20" s="17">
        <f t="shared" si="3"/>
        <v>95.351700949613004</v>
      </c>
      <c r="J20" s="17">
        <f t="shared" si="3"/>
        <v>103.95680725896381</v>
      </c>
      <c r="K20" s="17">
        <f t="shared" si="3"/>
        <v>113.45535771264905</v>
      </c>
    </row>
    <row r="22" spans="1:11" x14ac:dyDescent="0.45">
      <c r="A22" s="14" t="s">
        <v>24</v>
      </c>
      <c r="B22" s="14"/>
      <c r="C22" s="14"/>
      <c r="D22" s="14"/>
      <c r="E22" s="14"/>
      <c r="G22">
        <v>6.25</v>
      </c>
    </row>
    <row r="24" spans="1:11" x14ac:dyDescent="0.45">
      <c r="A24" t="s">
        <v>29</v>
      </c>
    </row>
    <row r="25" spans="1:11" x14ac:dyDescent="0.45">
      <c r="A25">
        <v>1000000000</v>
      </c>
    </row>
  </sheetData>
  <mergeCells count="2">
    <mergeCell ref="B3:K3"/>
    <mergeCell ref="A1:K2"/>
  </mergeCells>
  <pageMargins left="0.7" right="0.7" top="0.75" bottom="0.75" header="0.3" footer="0.3"/>
  <pageSetup orientation="portrait" r:id="rId1"/>
  <ignoredErrors>
    <ignoredError sqref="B16:K16 B18:K18 B17:E17 G17:K17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2331F-25C4-4BF6-B155-3986A4435CB5}">
  <sheetPr codeName="Sheet3"/>
  <dimension ref="A1:A3"/>
  <sheetViews>
    <sheetView workbookViewId="0">
      <selection activeCell="B18" sqref="B18"/>
    </sheetView>
  </sheetViews>
  <sheetFormatPr defaultRowHeight="14.25" x14ac:dyDescent="0.45"/>
  <sheetData>
    <row r="1" spans="1:1" x14ac:dyDescent="0.45">
      <c r="A1">
        <v>5.25</v>
      </c>
    </row>
    <row r="2" spans="1:1" x14ac:dyDescent="0.45">
      <c r="A2">
        <v>6.5</v>
      </c>
    </row>
    <row r="3" spans="1:1" x14ac:dyDescent="0.45">
      <c r="A3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Return Calculator</vt:lpstr>
      <vt:lpstr>Output</vt:lpstr>
      <vt:lpstr>Data</vt:lpstr>
      <vt:lpstr>InterestRates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Zak Sutherland</dc:creator>
  <cp:lastModifiedBy>Zak Sutherland</cp:lastModifiedBy>
  <dcterms:created xsi:type="dcterms:W3CDTF">2023-10-11T13:57:31Z</dcterms:created>
  <dcterms:modified xsi:type="dcterms:W3CDTF">2023-11-29T03:45:45Z</dcterms:modified>
</cp:coreProperties>
</file>